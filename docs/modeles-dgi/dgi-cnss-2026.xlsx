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SAVOIR" sheetId="1" state="visible" r:id="rId1"/>
    <sheet name="SAISIE" sheetId="2" state="visible" r:id="rId2"/>
    <sheet name="REFERENTIELS" sheetId="3" state="visible" r:id="rId3"/>
  </sheets>
  <definedNames>
    <definedName name="_xlnm.Print_Titles" localSheetId="1">'SAISIE'!$11:$12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A2F5E"/>
      <sz val="14"/>
    </font>
    <font>
      <b val="1"/>
      <color rgb="00FF0000"/>
    </font>
    <font>
      <b val="1"/>
    </font>
    <font>
      <i val="1"/>
      <color rgb="007c3aed"/>
    </font>
    <font>
      <b val="1"/>
      <color rgb="000A2F5E"/>
      <sz val="12"/>
    </font>
    <font>
      <b val="1"/>
      <color rgb="007c3aed"/>
    </font>
    <font>
      <color rgb="00FF0000"/>
      <sz val="8"/>
    </font>
    <font>
      <i val="1"/>
      <color rgb="0064748b"/>
      <sz val="7"/>
    </font>
    <font>
      <b val="1"/>
      <color rgb="00FFFFFF"/>
      <sz val="8"/>
    </font>
    <font>
      <sz val="8"/>
    </font>
    <font>
      <b val="1"/>
      <color rgb="000A2F5E"/>
    </font>
  </fonts>
  <fills count="6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F1F5F9"/>
        <bgColor rgb="00F1F5F9"/>
      </patternFill>
    </fill>
    <fill>
      <patternFill patternType="solid">
        <fgColor rgb="000A2F5E"/>
        <bgColor rgb="000A2F5E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SAISIE DES ANNEXES DETAILLEES - DGICNSS</t>
        </is>
      </c>
    </row>
    <row r="3">
      <c r="A3" t="inlineStr">
        <is>
          <t>Ce fichier Excel vous permet de générer un fichier XML constituant votre annexe détaillée à transmettre (DGI-CNSS)</t>
        </is>
      </c>
    </row>
    <row r="4">
      <c r="A4" s="2" t="inlineStr">
        <is>
          <t>IMPORTANT : veillez à bien activer les modifications et appliquer les macros 'activer le contenu' à l'ouverture</t>
        </is>
      </c>
    </row>
    <row r="6">
      <c r="A6" s="3" t="inlineStr">
        <is>
          <t>Comment générer mon annexe détaillée au format XML ?</t>
        </is>
      </c>
    </row>
    <row r="7">
      <c r="A7" t="inlineStr">
        <is>
          <t>1 - Renseignez votre IFU (13 chiffres), Année et Mois d'imposition sur la feuille SAISIE</t>
        </is>
      </c>
    </row>
    <row r="8">
      <c r="A8" t="inlineStr">
        <is>
          <t>2 - Remplissez le tableau : manuellement ou par copier/coller depuis votre système d'information</t>
        </is>
      </c>
    </row>
    <row r="9">
      <c r="A9" t="inlineStr">
        <is>
          <t>3 - Évitez les caractères spéciaux /, *, ET, '  - ils seront ignorés</t>
        </is>
      </c>
    </row>
    <row r="10">
      <c r="A10" t="inlineStr">
        <is>
          <t>4 - Vérifiez vos saisies puis générez votre fichier XML en cliquant sur 'Génération du XML' (macro) - ou utilisez le moteur GOBEX qui génère le XML automatiquement</t>
        </is>
      </c>
    </row>
    <row r="11">
      <c r="A11" t="inlineStr">
        <is>
          <t>5 - Le fichier XML généré est déposé dans /Documents - à importer dans la section Transmission des annexes détaillées par EDI sur votre espace DGI</t>
        </is>
      </c>
    </row>
    <row r="13">
      <c r="A13" s="4" t="inlineStr">
        <is>
          <t>Avec GOBEX : le moteur pré-remplit automatiquement les cases jaunes à partir du FEC/balance/paie - vous vérifiez puis générez Excel + XML en 1 clic.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2" customWidth="1" min="20" max="20"/>
    <col width="12" customWidth="1" min="21" max="21"/>
    <col width="12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t="inlineStr">
        <is>
          <t>Version : 1.0</t>
        </is>
      </c>
    </row>
    <row r="2">
      <c r="A2" s="5" t="inlineStr">
        <is>
          <t>Formulaire de saisie et génération des fichiers XML pour les annexes détaillées</t>
        </is>
      </c>
    </row>
    <row r="4">
      <c r="A4" t="inlineStr">
        <is>
          <t>Code impôt :</t>
        </is>
      </c>
      <c r="B4" s="6" t="inlineStr">
        <is>
          <t>DGICNSS</t>
        </is>
      </c>
    </row>
    <row r="5">
      <c r="A5" t="inlineStr">
        <is>
          <t>Libellé impôt :</t>
        </is>
      </c>
      <c r="B5" t="inlineStr">
        <is>
          <t>Déclaration commune DGI-CNSS</t>
        </is>
      </c>
    </row>
    <row r="7">
      <c r="A7" t="inlineStr">
        <is>
          <t>IFU :</t>
        </is>
      </c>
      <c r="B7" s="7" t="inlineStr"/>
      <c r="C7" s="8" t="inlineStr">
        <is>
          <t>Erreur sur votre IFU : respectez le format de longueur 13, sans espace.</t>
        </is>
      </c>
    </row>
    <row r="8">
      <c r="A8" t="inlineStr">
        <is>
          <t>Année d'imposition :</t>
        </is>
      </c>
      <c r="B8" s="7" t="inlineStr"/>
      <c r="C8" s="8" t="inlineStr">
        <is>
          <t>Merci de renseigner l'année et le mois.</t>
        </is>
      </c>
    </row>
    <row r="9">
      <c r="A9" t="inlineStr">
        <is>
          <t>Mois d'imposition :</t>
        </is>
      </c>
      <c r="B9" s="7" t="inlineStr"/>
    </row>
    <row r="10">
      <c r="A10" t="inlineStr"/>
    </row>
    <row r="11">
      <c r="A11" s="9" t="inlineStr">
        <is>
          <t>obligatoire</t>
        </is>
      </c>
      <c r="B11" s="9" t="inlineStr">
        <is>
          <t>obligatoire</t>
        </is>
      </c>
      <c r="C11" s="9" t="inlineStr">
        <is>
          <t>-</t>
        </is>
      </c>
      <c r="D11" s="9" t="inlineStr">
        <is>
          <t>obligatoire</t>
        </is>
      </c>
      <c r="E11" s="9" t="inlineStr">
        <is>
          <t>obligatoire</t>
        </is>
      </c>
      <c r="F11" s="9" t="inlineStr">
        <is>
          <t>obligatoire</t>
        </is>
      </c>
      <c r="G11" s="9" t="inlineStr">
        <is>
          <t>obligatoire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inlineStr">
        <is>
          <t>obligatoire</t>
        </is>
      </c>
      <c r="L11" s="9" t="inlineStr">
        <is>
          <t>obligatoire</t>
        </is>
      </c>
      <c r="M11" s="9" t="inlineStr">
        <is>
          <t>-</t>
        </is>
      </c>
      <c r="N11" s="9" t="inlineStr">
        <is>
          <t>-</t>
        </is>
      </c>
      <c r="O11" s="9" t="inlineStr">
        <is>
          <t>-</t>
        </is>
      </c>
      <c r="P11" s="9" t="inlineStr">
        <is>
          <t>-</t>
        </is>
      </c>
      <c r="Q11" s="9" t="inlineStr">
        <is>
          <t>-</t>
        </is>
      </c>
      <c r="R11" s="9" t="inlineStr">
        <is>
          <t>-</t>
        </is>
      </c>
      <c r="S11" s="9" t="inlineStr">
        <is>
          <t>calcul</t>
        </is>
      </c>
      <c r="T11" s="9" t="inlineStr">
        <is>
          <t>obligatoire</t>
        </is>
      </c>
      <c r="U11" s="9" t="inlineStr">
        <is>
          <t>calcul</t>
        </is>
      </c>
      <c r="V11" s="9" t="inlineStr">
        <is>
          <t>calcul</t>
        </is>
      </c>
      <c r="W11" s="9" t="inlineStr">
        <is>
          <t>calcul</t>
        </is>
      </c>
      <c r="X11" s="9" t="inlineStr">
        <is>
          <t>calcul</t>
        </is>
      </c>
      <c r="Y11" s="9" t="inlineStr">
        <is>
          <t>calcul</t>
        </is>
      </c>
      <c r="Z11" s="9" t="inlineStr">
        <is>
          <t>obligatoire</t>
        </is>
      </c>
    </row>
    <row r="12" ht="45" customHeight="1">
      <c r="A12" s="10" t="inlineStr">
        <is>
          <t>N° Employeur</t>
        </is>
      </c>
      <c r="B12" s="10" t="inlineStr">
        <is>
          <t>N° Sécurité Sociale du salarié</t>
        </is>
      </c>
      <c r="C12" s="10" t="inlineStr">
        <is>
          <t>N°IFU</t>
        </is>
      </c>
      <c r="D12" s="10" t="inlineStr">
        <is>
          <t>Nom</t>
        </is>
      </c>
      <c r="E12" s="10" t="inlineStr">
        <is>
          <t>Prénoms</t>
        </is>
      </c>
      <c r="F12" s="10" t="inlineStr">
        <is>
          <t>Type de contrat</t>
        </is>
      </c>
      <c r="G12" s="10" t="inlineStr">
        <is>
          <t>Taux de risque professionnels affilié au n° employé</t>
        </is>
      </c>
      <c r="H12" s="10" t="inlineStr">
        <is>
          <t>Date embauche</t>
        </is>
      </c>
      <c r="I12" s="10" t="inlineStr">
        <is>
          <t>Date de débauchage</t>
        </is>
      </c>
      <c r="J12" s="10" t="inlineStr">
        <is>
          <t>Durée de travail en jours ouvrables</t>
        </is>
      </c>
      <c r="K12" s="10" t="inlineStr">
        <is>
          <t>Nombre de jours assimilés</t>
        </is>
      </c>
      <c r="L12" s="10" t="inlineStr">
        <is>
          <t>Rémunération en FCFA (1)</t>
        </is>
      </c>
      <c r="M12" s="10" t="inlineStr">
        <is>
          <t>Rappel de salaires ou primes au profit du salarié (2)</t>
        </is>
      </c>
      <c r="N12" s="10" t="inlineStr">
        <is>
          <t>Période concernée par les rappels de salaires</t>
        </is>
      </c>
      <c r="O12" s="10" t="inlineStr">
        <is>
          <t>Indemnité de départ à la retraite (IDR) (3)</t>
        </is>
      </c>
      <c r="P12" s="10" t="inlineStr">
        <is>
          <t>Indemnité de licenciement (4)</t>
        </is>
      </c>
      <c r="Q12" s="10" t="inlineStr">
        <is>
          <t>Autres primes et indemnités (5)</t>
        </is>
      </c>
      <c r="R12" s="10" t="inlineStr">
        <is>
          <t>Avantages en natures (6)</t>
        </is>
      </c>
      <c r="S12" s="10" t="inlineStr">
        <is>
          <t>Total des rémunérations par salarié (7) = (1)+(2)+(3)+(4)+(6)</t>
        </is>
      </c>
      <c r="T12" s="10" t="inlineStr">
        <is>
          <t>Montant de l'ITS</t>
        </is>
      </c>
      <c r="U12" s="10" t="inlineStr">
        <is>
          <t>Prestations familiales (9%) (8)</t>
        </is>
      </c>
      <c r="V12" s="10" t="inlineStr">
        <is>
          <t>Risques Professionnels (9)</t>
        </is>
      </c>
      <c r="W12" s="10" t="inlineStr">
        <is>
          <t>Assurance vieillesse - Part patronale (6,4%) (10)</t>
        </is>
      </c>
      <c r="X12" s="10" t="inlineStr">
        <is>
          <t>Assurance vieillesse - Part ouvrière (3,6%) (11)</t>
        </is>
      </c>
      <c r="Y12" s="10" t="inlineStr">
        <is>
          <t>Montant des cotisations CNSS (12) = (8)+(9)+(10)+(11)</t>
        </is>
      </c>
      <c r="Z12" s="10" t="inlineStr">
        <is>
          <t>Cotisation assurance maladie</t>
        </is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2" t="n"/>
      <c r="O13" s="11" t="n"/>
      <c r="P13" s="11" t="n"/>
      <c r="Q13" s="11" t="n"/>
      <c r="R13" s="11" t="n"/>
      <c r="S13" s="13">
        <f>L13+M13+O13+P13+R13</f>
        <v/>
      </c>
      <c r="T13" s="11" t="n"/>
      <c r="U13" s="13">
        <f>S13*0.09</f>
        <v/>
      </c>
      <c r="V13" s="13">
        <f>S13*0.02</f>
        <v/>
      </c>
      <c r="W13" s="13">
        <f>S13*0.064</f>
        <v/>
      </c>
      <c r="X13" s="13">
        <f>S13*0.036</f>
        <v/>
      </c>
      <c r="Y13" s="13">
        <f>U13+V13+W13+X13</f>
        <v/>
      </c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2" t="n"/>
      <c r="O14" s="11" t="n"/>
      <c r="P14" s="11" t="n"/>
      <c r="Q14" s="11" t="n"/>
      <c r="R14" s="11" t="n"/>
      <c r="S14" s="13">
        <f>L14+M14+O14+P14+R14</f>
        <v/>
      </c>
      <c r="T14" s="11" t="n"/>
      <c r="U14" s="13">
        <f>S14*0.09</f>
        <v/>
      </c>
      <c r="V14" s="13">
        <f>S14*0.02</f>
        <v/>
      </c>
      <c r="W14" s="13">
        <f>S14*0.064</f>
        <v/>
      </c>
      <c r="X14" s="13">
        <f>S14*0.036</f>
        <v/>
      </c>
      <c r="Y14" s="13">
        <f>U14+V14+W14+X14</f>
        <v/>
      </c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2" t="n"/>
      <c r="O15" s="11" t="n"/>
      <c r="P15" s="11" t="n"/>
      <c r="Q15" s="11" t="n"/>
      <c r="R15" s="11" t="n"/>
      <c r="S15" s="13">
        <f>L15+M15+O15+P15+R15</f>
        <v/>
      </c>
      <c r="T15" s="11" t="n"/>
      <c r="U15" s="13">
        <f>S15*0.09</f>
        <v/>
      </c>
      <c r="V15" s="13">
        <f>S15*0.02</f>
        <v/>
      </c>
      <c r="W15" s="13">
        <f>S15*0.064</f>
        <v/>
      </c>
      <c r="X15" s="13">
        <f>S15*0.036</f>
        <v/>
      </c>
      <c r="Y15" s="13">
        <f>U15+V15+W15+X15</f>
        <v/>
      </c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2" t="n"/>
      <c r="O16" s="11" t="n"/>
      <c r="P16" s="11" t="n"/>
      <c r="Q16" s="11" t="n"/>
      <c r="R16" s="11" t="n"/>
      <c r="S16" s="13">
        <f>L16+M16+O16+P16+R16</f>
        <v/>
      </c>
      <c r="T16" s="11" t="n"/>
      <c r="U16" s="13">
        <f>S16*0.09</f>
        <v/>
      </c>
      <c r="V16" s="13">
        <f>S16*0.02</f>
        <v/>
      </c>
      <c r="W16" s="13">
        <f>S16*0.064</f>
        <v/>
      </c>
      <c r="X16" s="13">
        <f>S16*0.036</f>
        <v/>
      </c>
      <c r="Y16" s="13">
        <f>U16+V16+W16+X16</f>
        <v/>
      </c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2" t="n"/>
      <c r="O17" s="11" t="n"/>
      <c r="P17" s="11" t="n"/>
      <c r="Q17" s="11" t="n"/>
      <c r="R17" s="11" t="n"/>
      <c r="S17" s="13">
        <f>L17+M17+O17+P17+R17</f>
        <v/>
      </c>
      <c r="T17" s="11" t="n"/>
      <c r="U17" s="13">
        <f>S17*0.09</f>
        <v/>
      </c>
      <c r="V17" s="13">
        <f>S17*0.02</f>
        <v/>
      </c>
      <c r="W17" s="13">
        <f>S17*0.064</f>
        <v/>
      </c>
      <c r="X17" s="13">
        <f>S17*0.036</f>
        <v/>
      </c>
      <c r="Y17" s="13">
        <f>U17+V17+W17+X17</f>
        <v/>
      </c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2" t="n"/>
      <c r="O18" s="11" t="n"/>
      <c r="P18" s="11" t="n"/>
      <c r="Q18" s="11" t="n"/>
      <c r="R18" s="11" t="n"/>
      <c r="S18" s="13">
        <f>L18+M18+O18+P18+R18</f>
        <v/>
      </c>
      <c r="T18" s="11" t="n"/>
      <c r="U18" s="13">
        <f>S18*0.09</f>
        <v/>
      </c>
      <c r="V18" s="13">
        <f>S18*0.02</f>
        <v/>
      </c>
      <c r="W18" s="13">
        <f>S18*0.064</f>
        <v/>
      </c>
      <c r="X18" s="13">
        <f>S18*0.036</f>
        <v/>
      </c>
      <c r="Y18" s="13">
        <f>U18+V18+W18+X18</f>
        <v/>
      </c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2" t="n"/>
      <c r="O19" s="11" t="n"/>
      <c r="P19" s="11" t="n"/>
      <c r="Q19" s="11" t="n"/>
      <c r="R19" s="11" t="n"/>
      <c r="S19" s="13">
        <f>L19+M19+O19+P19+R19</f>
        <v/>
      </c>
      <c r="T19" s="11" t="n"/>
      <c r="U19" s="13">
        <f>S19*0.09</f>
        <v/>
      </c>
      <c r="V19" s="13">
        <f>S19*0.02</f>
        <v/>
      </c>
      <c r="W19" s="13">
        <f>S19*0.064</f>
        <v/>
      </c>
      <c r="X19" s="13">
        <f>S19*0.036</f>
        <v/>
      </c>
      <c r="Y19" s="13">
        <f>U19+V19+W19+X19</f>
        <v/>
      </c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2" t="n"/>
      <c r="O20" s="11" t="n"/>
      <c r="P20" s="11" t="n"/>
      <c r="Q20" s="11" t="n"/>
      <c r="R20" s="11" t="n"/>
      <c r="S20" s="13">
        <f>L20+M20+O20+P20+R20</f>
        <v/>
      </c>
      <c r="T20" s="11" t="n"/>
      <c r="U20" s="13">
        <f>S20*0.09</f>
        <v/>
      </c>
      <c r="V20" s="13">
        <f>S20*0.02</f>
        <v/>
      </c>
      <c r="W20" s="13">
        <f>S20*0.064</f>
        <v/>
      </c>
      <c r="X20" s="13">
        <f>S20*0.036</f>
        <v/>
      </c>
      <c r="Y20" s="13">
        <f>U20+V20+W20+X20</f>
        <v/>
      </c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2" t="n"/>
      <c r="O21" s="11" t="n"/>
      <c r="P21" s="11" t="n"/>
      <c r="Q21" s="11" t="n"/>
      <c r="R21" s="11" t="n"/>
      <c r="S21" s="13">
        <f>L21+M21+O21+P21+R21</f>
        <v/>
      </c>
      <c r="T21" s="11" t="n"/>
      <c r="U21" s="13">
        <f>S21*0.09</f>
        <v/>
      </c>
      <c r="V21" s="13">
        <f>S21*0.02</f>
        <v/>
      </c>
      <c r="W21" s="13">
        <f>S21*0.064</f>
        <v/>
      </c>
      <c r="X21" s="13">
        <f>S21*0.036</f>
        <v/>
      </c>
      <c r="Y21" s="13">
        <f>U21+V21+W21+X21</f>
        <v/>
      </c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2" t="n"/>
      <c r="O22" s="11" t="n"/>
      <c r="P22" s="11" t="n"/>
      <c r="Q22" s="11" t="n"/>
      <c r="R22" s="11" t="n"/>
      <c r="S22" s="13">
        <f>L22+M22+O22+P22+R22</f>
        <v/>
      </c>
      <c r="T22" s="11" t="n"/>
      <c r="U22" s="13">
        <f>S22*0.09</f>
        <v/>
      </c>
      <c r="V22" s="13">
        <f>S22*0.02</f>
        <v/>
      </c>
      <c r="W22" s="13">
        <f>S22*0.064</f>
        <v/>
      </c>
      <c r="X22" s="13">
        <f>S22*0.036</f>
        <v/>
      </c>
      <c r="Y22" s="13">
        <f>U22+V22+W22+X22</f>
        <v/>
      </c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2" t="n"/>
      <c r="O23" s="11" t="n"/>
      <c r="P23" s="11" t="n"/>
      <c r="Q23" s="11" t="n"/>
      <c r="R23" s="11" t="n"/>
      <c r="S23" s="13">
        <f>L23+M23+O23+P23+R23</f>
        <v/>
      </c>
      <c r="T23" s="11" t="n"/>
      <c r="U23" s="13">
        <f>S23*0.09</f>
        <v/>
      </c>
      <c r="V23" s="13">
        <f>S23*0.02</f>
        <v/>
      </c>
      <c r="W23" s="13">
        <f>S23*0.064</f>
        <v/>
      </c>
      <c r="X23" s="13">
        <f>S23*0.036</f>
        <v/>
      </c>
      <c r="Y23" s="13">
        <f>U23+V23+W23+X23</f>
        <v/>
      </c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2" t="n"/>
      <c r="O24" s="11" t="n"/>
      <c r="P24" s="11" t="n"/>
      <c r="Q24" s="11" t="n"/>
      <c r="R24" s="11" t="n"/>
      <c r="S24" s="13">
        <f>L24+M24+O24+P24+R24</f>
        <v/>
      </c>
      <c r="T24" s="11" t="n"/>
      <c r="U24" s="13">
        <f>S24*0.09</f>
        <v/>
      </c>
      <c r="V24" s="13">
        <f>S24*0.02</f>
        <v/>
      </c>
      <c r="W24" s="13">
        <f>S24*0.064</f>
        <v/>
      </c>
      <c r="X24" s="13">
        <f>S24*0.036</f>
        <v/>
      </c>
      <c r="Y24" s="13">
        <f>U24+V24+W24+X24</f>
        <v/>
      </c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2" t="n"/>
      <c r="O25" s="11" t="n"/>
      <c r="P25" s="11" t="n"/>
      <c r="Q25" s="11" t="n"/>
      <c r="R25" s="11" t="n"/>
      <c r="S25" s="13">
        <f>L25+M25+O25+P25+R25</f>
        <v/>
      </c>
      <c r="T25" s="11" t="n"/>
      <c r="U25" s="13">
        <f>S25*0.09</f>
        <v/>
      </c>
      <c r="V25" s="13">
        <f>S25*0.02</f>
        <v/>
      </c>
      <c r="W25" s="13">
        <f>S25*0.064</f>
        <v/>
      </c>
      <c r="X25" s="13">
        <f>S25*0.036</f>
        <v/>
      </c>
      <c r="Y25" s="13">
        <f>U25+V25+W25+X25</f>
        <v/>
      </c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2" t="n"/>
      <c r="O26" s="11" t="n"/>
      <c r="P26" s="11" t="n"/>
      <c r="Q26" s="11" t="n"/>
      <c r="R26" s="11" t="n"/>
      <c r="S26" s="13">
        <f>L26+M26+O26+P26+R26</f>
        <v/>
      </c>
      <c r="T26" s="11" t="n"/>
      <c r="U26" s="13">
        <f>S26*0.09</f>
        <v/>
      </c>
      <c r="V26" s="13">
        <f>S26*0.02</f>
        <v/>
      </c>
      <c r="W26" s="13">
        <f>S26*0.064</f>
        <v/>
      </c>
      <c r="X26" s="13">
        <f>S26*0.036</f>
        <v/>
      </c>
      <c r="Y26" s="13">
        <f>U26+V26+W26+X26</f>
        <v/>
      </c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2" t="n"/>
      <c r="O27" s="11" t="n"/>
      <c r="P27" s="11" t="n"/>
      <c r="Q27" s="11" t="n"/>
      <c r="R27" s="11" t="n"/>
      <c r="S27" s="13">
        <f>L27+M27+O27+P27+R27</f>
        <v/>
      </c>
      <c r="T27" s="11" t="n"/>
      <c r="U27" s="13">
        <f>S27*0.09</f>
        <v/>
      </c>
      <c r="V27" s="13">
        <f>S27*0.02</f>
        <v/>
      </c>
      <c r="W27" s="13">
        <f>S27*0.064</f>
        <v/>
      </c>
      <c r="X27" s="13">
        <f>S27*0.036</f>
        <v/>
      </c>
      <c r="Y27" s="13">
        <f>U27+V27+W27+X27</f>
        <v/>
      </c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2" t="n"/>
      <c r="O28" s="11" t="n"/>
      <c r="P28" s="11" t="n"/>
      <c r="Q28" s="11" t="n"/>
      <c r="R28" s="11" t="n"/>
      <c r="S28" s="13">
        <f>L28+M28+O28+P28+R28</f>
        <v/>
      </c>
      <c r="T28" s="11" t="n"/>
      <c r="U28" s="13">
        <f>S28*0.09</f>
        <v/>
      </c>
      <c r="V28" s="13">
        <f>S28*0.02</f>
        <v/>
      </c>
      <c r="W28" s="13">
        <f>S28*0.064</f>
        <v/>
      </c>
      <c r="X28" s="13">
        <f>S28*0.036</f>
        <v/>
      </c>
      <c r="Y28" s="13">
        <f>U28+V28+W28+X28</f>
        <v/>
      </c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2" t="n"/>
      <c r="O29" s="11" t="n"/>
      <c r="P29" s="11" t="n"/>
      <c r="Q29" s="11" t="n"/>
      <c r="R29" s="11" t="n"/>
      <c r="S29" s="13">
        <f>L29+M29+O29+P29+R29</f>
        <v/>
      </c>
      <c r="T29" s="11" t="n"/>
      <c r="U29" s="13">
        <f>S29*0.09</f>
        <v/>
      </c>
      <c r="V29" s="13">
        <f>S29*0.02</f>
        <v/>
      </c>
      <c r="W29" s="13">
        <f>S29*0.064</f>
        <v/>
      </c>
      <c r="X29" s="13">
        <f>S29*0.036</f>
        <v/>
      </c>
      <c r="Y29" s="13">
        <f>U29+V29+W29+X29</f>
        <v/>
      </c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2" t="n"/>
      <c r="O30" s="11" t="n"/>
      <c r="P30" s="11" t="n"/>
      <c r="Q30" s="11" t="n"/>
      <c r="R30" s="11" t="n"/>
      <c r="S30" s="13">
        <f>L30+M30+O30+P30+R30</f>
        <v/>
      </c>
      <c r="T30" s="11" t="n"/>
      <c r="U30" s="13">
        <f>S30*0.09</f>
        <v/>
      </c>
      <c r="V30" s="13">
        <f>S30*0.02</f>
        <v/>
      </c>
      <c r="W30" s="13">
        <f>S30*0.064</f>
        <v/>
      </c>
      <c r="X30" s="13">
        <f>S30*0.036</f>
        <v/>
      </c>
      <c r="Y30" s="13">
        <f>U30+V30+W30+X30</f>
        <v/>
      </c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2" t="n"/>
      <c r="O31" s="11" t="n"/>
      <c r="P31" s="11" t="n"/>
      <c r="Q31" s="11" t="n"/>
      <c r="R31" s="11" t="n"/>
      <c r="S31" s="13">
        <f>L31+M31+O31+P31+R31</f>
        <v/>
      </c>
      <c r="T31" s="11" t="n"/>
      <c r="U31" s="13">
        <f>S31*0.09</f>
        <v/>
      </c>
      <c r="V31" s="13">
        <f>S31*0.02</f>
        <v/>
      </c>
      <c r="W31" s="13">
        <f>S31*0.064</f>
        <v/>
      </c>
      <c r="X31" s="13">
        <f>S31*0.036</f>
        <v/>
      </c>
      <c r="Y31" s="13">
        <f>U31+V31+W31+X31</f>
        <v/>
      </c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2" t="n"/>
      <c r="O32" s="11" t="n"/>
      <c r="P32" s="11" t="n"/>
      <c r="Q32" s="11" t="n"/>
      <c r="R32" s="11" t="n"/>
      <c r="S32" s="13">
        <f>L32+M32+O32+P32+R32</f>
        <v/>
      </c>
      <c r="T32" s="11" t="n"/>
      <c r="U32" s="13">
        <f>S32*0.09</f>
        <v/>
      </c>
      <c r="V32" s="13">
        <f>S32*0.02</f>
        <v/>
      </c>
      <c r="W32" s="13">
        <f>S32*0.064</f>
        <v/>
      </c>
      <c r="X32" s="13">
        <f>S32*0.036</f>
        <v/>
      </c>
      <c r="Y32" s="13">
        <f>U32+V32+W32+X32</f>
        <v/>
      </c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2" t="n"/>
      <c r="O33" s="11" t="n"/>
      <c r="P33" s="11" t="n"/>
      <c r="Q33" s="11" t="n"/>
      <c r="R33" s="11" t="n"/>
      <c r="S33" s="13">
        <f>L33+M33+O33+P33+R33</f>
        <v/>
      </c>
      <c r="T33" s="11" t="n"/>
      <c r="U33" s="13">
        <f>S33*0.09</f>
        <v/>
      </c>
      <c r="V33" s="13">
        <f>S33*0.02</f>
        <v/>
      </c>
      <c r="W33" s="13">
        <f>S33*0.064</f>
        <v/>
      </c>
      <c r="X33" s="13">
        <f>S33*0.036</f>
        <v/>
      </c>
      <c r="Y33" s="13">
        <f>U33+V33+W33+X33</f>
        <v/>
      </c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2" t="n"/>
      <c r="O34" s="11" t="n"/>
      <c r="P34" s="11" t="n"/>
      <c r="Q34" s="11" t="n"/>
      <c r="R34" s="11" t="n"/>
      <c r="S34" s="13">
        <f>L34+M34+O34+P34+R34</f>
        <v/>
      </c>
      <c r="T34" s="11" t="n"/>
      <c r="U34" s="13">
        <f>S34*0.09</f>
        <v/>
      </c>
      <c r="V34" s="13">
        <f>S34*0.02</f>
        <v/>
      </c>
      <c r="W34" s="13">
        <f>S34*0.064</f>
        <v/>
      </c>
      <c r="X34" s="13">
        <f>S34*0.036</f>
        <v/>
      </c>
      <c r="Y34" s="13">
        <f>U34+V34+W34+X34</f>
        <v/>
      </c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2" t="n"/>
      <c r="O35" s="11" t="n"/>
      <c r="P35" s="11" t="n"/>
      <c r="Q35" s="11" t="n"/>
      <c r="R35" s="11" t="n"/>
      <c r="S35" s="13">
        <f>L35+M35+O35+P35+R35</f>
        <v/>
      </c>
      <c r="T35" s="11" t="n"/>
      <c r="U35" s="13">
        <f>S35*0.09</f>
        <v/>
      </c>
      <c r="V35" s="13">
        <f>S35*0.02</f>
        <v/>
      </c>
      <c r="W35" s="13">
        <f>S35*0.064</f>
        <v/>
      </c>
      <c r="X35" s="13">
        <f>S35*0.036</f>
        <v/>
      </c>
      <c r="Y35" s="13">
        <f>U35+V35+W35+X35</f>
        <v/>
      </c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2" t="n"/>
      <c r="O36" s="11" t="n"/>
      <c r="P36" s="11" t="n"/>
      <c r="Q36" s="11" t="n"/>
      <c r="R36" s="11" t="n"/>
      <c r="S36" s="13">
        <f>L36+M36+O36+P36+R36</f>
        <v/>
      </c>
      <c r="T36" s="11" t="n"/>
      <c r="U36" s="13">
        <f>S36*0.09</f>
        <v/>
      </c>
      <c r="V36" s="13">
        <f>S36*0.02</f>
        <v/>
      </c>
      <c r="W36" s="13">
        <f>S36*0.064</f>
        <v/>
      </c>
      <c r="X36" s="13">
        <f>S36*0.036</f>
        <v/>
      </c>
      <c r="Y36" s="13">
        <f>U36+V36+W36+X36</f>
        <v/>
      </c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/>
      <c r="O37" s="11" t="n"/>
      <c r="P37" s="11" t="n"/>
      <c r="Q37" s="11" t="n"/>
      <c r="R37" s="11" t="n"/>
      <c r="S37" s="13">
        <f>L37+M37+O37+P37+R37</f>
        <v/>
      </c>
      <c r="T37" s="11" t="n"/>
      <c r="U37" s="13">
        <f>S37*0.09</f>
        <v/>
      </c>
      <c r="V37" s="13">
        <f>S37*0.02</f>
        <v/>
      </c>
      <c r="W37" s="13">
        <f>S37*0.064</f>
        <v/>
      </c>
      <c r="X37" s="13">
        <f>S37*0.036</f>
        <v/>
      </c>
      <c r="Y37" s="13">
        <f>U37+V37+W37+X37</f>
        <v/>
      </c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/>
      <c r="O38" s="11" t="n"/>
      <c r="P38" s="11" t="n"/>
      <c r="Q38" s="11" t="n"/>
      <c r="R38" s="11" t="n"/>
      <c r="S38" s="13">
        <f>L38+M38+O38+P38+R38</f>
        <v/>
      </c>
      <c r="T38" s="11" t="n"/>
      <c r="U38" s="13">
        <f>S38*0.09</f>
        <v/>
      </c>
      <c r="V38" s="13">
        <f>S38*0.02</f>
        <v/>
      </c>
      <c r="W38" s="13">
        <f>S38*0.064</f>
        <v/>
      </c>
      <c r="X38" s="13">
        <f>S38*0.036</f>
        <v/>
      </c>
      <c r="Y38" s="13">
        <f>U38+V38+W38+X38</f>
        <v/>
      </c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/>
      <c r="O39" s="11" t="n"/>
      <c r="P39" s="11" t="n"/>
      <c r="Q39" s="11" t="n"/>
      <c r="R39" s="11" t="n"/>
      <c r="S39" s="13">
        <f>L39+M39+O39+P39+R39</f>
        <v/>
      </c>
      <c r="T39" s="11" t="n"/>
      <c r="U39" s="13">
        <f>S39*0.09</f>
        <v/>
      </c>
      <c r="V39" s="13">
        <f>S39*0.02</f>
        <v/>
      </c>
      <c r="W39" s="13">
        <f>S39*0.064</f>
        <v/>
      </c>
      <c r="X39" s="13">
        <f>S39*0.036</f>
        <v/>
      </c>
      <c r="Y39" s="13">
        <f>U39+V39+W39+X39</f>
        <v/>
      </c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/>
      <c r="O40" s="11" t="n"/>
      <c r="P40" s="11" t="n"/>
      <c r="Q40" s="11" t="n"/>
      <c r="R40" s="11" t="n"/>
      <c r="S40" s="13">
        <f>L40+M40+O40+P40+R40</f>
        <v/>
      </c>
      <c r="T40" s="11" t="n"/>
      <c r="U40" s="13">
        <f>S40*0.09</f>
        <v/>
      </c>
      <c r="V40" s="13">
        <f>S40*0.02</f>
        <v/>
      </c>
      <c r="W40" s="13">
        <f>S40*0.064</f>
        <v/>
      </c>
      <c r="X40" s="13">
        <f>S40*0.036</f>
        <v/>
      </c>
      <c r="Y40" s="13">
        <f>U40+V40+W40+X40</f>
        <v/>
      </c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2" t="n"/>
      <c r="O41" s="11" t="n"/>
      <c r="P41" s="11" t="n"/>
      <c r="Q41" s="11" t="n"/>
      <c r="R41" s="11" t="n"/>
      <c r="S41" s="13">
        <f>L41+M41+O41+P41+R41</f>
        <v/>
      </c>
      <c r="T41" s="11" t="n"/>
      <c r="U41" s="13">
        <f>S41*0.09</f>
        <v/>
      </c>
      <c r="V41" s="13">
        <f>S41*0.02</f>
        <v/>
      </c>
      <c r="W41" s="13">
        <f>S41*0.064</f>
        <v/>
      </c>
      <c r="X41" s="13">
        <f>S41*0.036</f>
        <v/>
      </c>
      <c r="Y41" s="13">
        <f>U41+V41+W41+X41</f>
        <v/>
      </c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2" t="n"/>
      <c r="O42" s="11" t="n"/>
      <c r="P42" s="11" t="n"/>
      <c r="Q42" s="11" t="n"/>
      <c r="R42" s="11" t="n"/>
      <c r="S42" s="13">
        <f>L42+M42+O42+P42+R42</f>
        <v/>
      </c>
      <c r="T42" s="11" t="n"/>
      <c r="U42" s="13">
        <f>S42*0.09</f>
        <v/>
      </c>
      <c r="V42" s="13">
        <f>S42*0.02</f>
        <v/>
      </c>
      <c r="W42" s="13">
        <f>S42*0.064</f>
        <v/>
      </c>
      <c r="X42" s="13">
        <f>S42*0.036</f>
        <v/>
      </c>
      <c r="Y42" s="13">
        <f>U42+V42+W42+X42</f>
        <v/>
      </c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2" t="n"/>
      <c r="O43" s="11" t="n"/>
      <c r="P43" s="11" t="n"/>
      <c r="Q43" s="11" t="n"/>
      <c r="R43" s="11" t="n"/>
      <c r="S43" s="13">
        <f>L43+M43+O43+P43+R43</f>
        <v/>
      </c>
      <c r="T43" s="11" t="n"/>
      <c r="U43" s="13">
        <f>S43*0.09</f>
        <v/>
      </c>
      <c r="V43" s="13">
        <f>S43*0.02</f>
        <v/>
      </c>
      <c r="W43" s="13">
        <f>S43*0.064</f>
        <v/>
      </c>
      <c r="X43" s="13">
        <f>S43*0.036</f>
        <v/>
      </c>
      <c r="Y43" s="13">
        <f>U43+V43+W43+X43</f>
        <v/>
      </c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2" t="n"/>
      <c r="O44" s="11" t="n"/>
      <c r="P44" s="11" t="n"/>
      <c r="Q44" s="11" t="n"/>
      <c r="R44" s="11" t="n"/>
      <c r="S44" s="13">
        <f>L44+M44+O44+P44+R44</f>
        <v/>
      </c>
      <c r="T44" s="11" t="n"/>
      <c r="U44" s="13">
        <f>S44*0.09</f>
        <v/>
      </c>
      <c r="V44" s="13">
        <f>S44*0.02</f>
        <v/>
      </c>
      <c r="W44" s="13">
        <f>S44*0.064</f>
        <v/>
      </c>
      <c r="X44" s="13">
        <f>S44*0.036</f>
        <v/>
      </c>
      <c r="Y44" s="13">
        <f>U44+V44+W44+X44</f>
        <v/>
      </c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2" t="n"/>
      <c r="O45" s="11" t="n"/>
      <c r="P45" s="11" t="n"/>
      <c r="Q45" s="11" t="n"/>
      <c r="R45" s="11" t="n"/>
      <c r="S45" s="13">
        <f>L45+M45+O45+P45+R45</f>
        <v/>
      </c>
      <c r="T45" s="11" t="n"/>
      <c r="U45" s="13">
        <f>S45*0.09</f>
        <v/>
      </c>
      <c r="V45" s="13">
        <f>S45*0.02</f>
        <v/>
      </c>
      <c r="W45" s="13">
        <f>S45*0.064</f>
        <v/>
      </c>
      <c r="X45" s="13">
        <f>S45*0.036</f>
        <v/>
      </c>
      <c r="Y45" s="13">
        <f>U45+V45+W45+X45</f>
        <v/>
      </c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2" t="n"/>
      <c r="O46" s="11" t="n"/>
      <c r="P46" s="11" t="n"/>
      <c r="Q46" s="11" t="n"/>
      <c r="R46" s="11" t="n"/>
      <c r="S46" s="13">
        <f>L46+M46+O46+P46+R46</f>
        <v/>
      </c>
      <c r="T46" s="11" t="n"/>
      <c r="U46" s="13">
        <f>S46*0.09</f>
        <v/>
      </c>
      <c r="V46" s="13">
        <f>S46*0.02</f>
        <v/>
      </c>
      <c r="W46" s="13">
        <f>S46*0.064</f>
        <v/>
      </c>
      <c r="X46" s="13">
        <f>S46*0.036</f>
        <v/>
      </c>
      <c r="Y46" s="13">
        <f>U46+V46+W46+X46</f>
        <v/>
      </c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2" t="n"/>
      <c r="O47" s="11" t="n"/>
      <c r="P47" s="11" t="n"/>
      <c r="Q47" s="11" t="n"/>
      <c r="R47" s="11" t="n"/>
      <c r="S47" s="13">
        <f>L47+M47+O47+P47+R47</f>
        <v/>
      </c>
      <c r="T47" s="11" t="n"/>
      <c r="U47" s="13">
        <f>S47*0.09</f>
        <v/>
      </c>
      <c r="V47" s="13">
        <f>S47*0.02</f>
        <v/>
      </c>
      <c r="W47" s="13">
        <f>S47*0.064</f>
        <v/>
      </c>
      <c r="X47" s="13">
        <f>S47*0.036</f>
        <v/>
      </c>
      <c r="Y47" s="13">
        <f>U47+V47+W47+X47</f>
        <v/>
      </c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2" t="n"/>
      <c r="O48" s="11" t="n"/>
      <c r="P48" s="11" t="n"/>
      <c r="Q48" s="11" t="n"/>
      <c r="R48" s="11" t="n"/>
      <c r="S48" s="13">
        <f>L48+M48+O48+P48+R48</f>
        <v/>
      </c>
      <c r="T48" s="11" t="n"/>
      <c r="U48" s="13">
        <f>S48*0.09</f>
        <v/>
      </c>
      <c r="V48" s="13">
        <f>S48*0.02</f>
        <v/>
      </c>
      <c r="W48" s="13">
        <f>S48*0.064</f>
        <v/>
      </c>
      <c r="X48" s="13">
        <f>S48*0.036</f>
        <v/>
      </c>
      <c r="Y48" s="13">
        <f>U48+V48+W48+X48</f>
        <v/>
      </c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2" t="n"/>
      <c r="O49" s="11" t="n"/>
      <c r="P49" s="11" t="n"/>
      <c r="Q49" s="11" t="n"/>
      <c r="R49" s="11" t="n"/>
      <c r="S49" s="13">
        <f>L49+M49+O49+P49+R49</f>
        <v/>
      </c>
      <c r="T49" s="11" t="n"/>
      <c r="U49" s="13">
        <f>S49*0.09</f>
        <v/>
      </c>
      <c r="V49" s="13">
        <f>S49*0.02</f>
        <v/>
      </c>
      <c r="W49" s="13">
        <f>S49*0.064</f>
        <v/>
      </c>
      <c r="X49" s="13">
        <f>S49*0.036</f>
        <v/>
      </c>
      <c r="Y49" s="13">
        <f>U49+V49+W49+X49</f>
        <v/>
      </c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2" t="n"/>
      <c r="O50" s="11" t="n"/>
      <c r="P50" s="11" t="n"/>
      <c r="Q50" s="11" t="n"/>
      <c r="R50" s="11" t="n"/>
      <c r="S50" s="13">
        <f>L50+M50+O50+P50+R50</f>
        <v/>
      </c>
      <c r="T50" s="11" t="n"/>
      <c r="U50" s="13">
        <f>S50*0.09</f>
        <v/>
      </c>
      <c r="V50" s="13">
        <f>S50*0.02</f>
        <v/>
      </c>
      <c r="W50" s="13">
        <f>S50*0.064</f>
        <v/>
      </c>
      <c r="X50" s="13">
        <f>S50*0.036</f>
        <v/>
      </c>
      <c r="Y50" s="13">
        <f>U50+V50+W50+X50</f>
        <v/>
      </c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2" t="n"/>
      <c r="O51" s="11" t="n"/>
      <c r="P51" s="11" t="n"/>
      <c r="Q51" s="11" t="n"/>
      <c r="R51" s="11" t="n"/>
      <c r="S51" s="13">
        <f>L51+M51+O51+P51+R51</f>
        <v/>
      </c>
      <c r="T51" s="11" t="n"/>
      <c r="U51" s="13">
        <f>S51*0.09</f>
        <v/>
      </c>
      <c r="V51" s="13">
        <f>S51*0.02</f>
        <v/>
      </c>
      <c r="W51" s="13">
        <f>S51*0.064</f>
        <v/>
      </c>
      <c r="X51" s="13">
        <f>S51*0.036</f>
        <v/>
      </c>
      <c r="Y51" s="13">
        <f>U51+V51+W51+X51</f>
        <v/>
      </c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2" t="n"/>
      <c r="O52" s="11" t="n"/>
      <c r="P52" s="11" t="n"/>
      <c r="Q52" s="11" t="n"/>
      <c r="R52" s="11" t="n"/>
      <c r="S52" s="13">
        <f>L52+M52+O52+P52+R52</f>
        <v/>
      </c>
      <c r="T52" s="11" t="n"/>
      <c r="U52" s="13">
        <f>S52*0.09</f>
        <v/>
      </c>
      <c r="V52" s="13">
        <f>S52*0.02</f>
        <v/>
      </c>
      <c r="W52" s="13">
        <f>S52*0.064</f>
        <v/>
      </c>
      <c r="X52" s="13">
        <f>S52*0.036</f>
        <v/>
      </c>
      <c r="Y52" s="13">
        <f>U52+V52+W52+X52</f>
        <v/>
      </c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2" t="n"/>
      <c r="O53" s="11" t="n"/>
      <c r="P53" s="11" t="n"/>
      <c r="Q53" s="11" t="n"/>
      <c r="R53" s="11" t="n"/>
      <c r="S53" s="13">
        <f>L53+M53+O53+P53+R53</f>
        <v/>
      </c>
      <c r="T53" s="11" t="n"/>
      <c r="U53" s="13">
        <f>S53*0.09</f>
        <v/>
      </c>
      <c r="V53" s="13">
        <f>S53*0.02</f>
        <v/>
      </c>
      <c r="W53" s="13">
        <f>S53*0.064</f>
        <v/>
      </c>
      <c r="X53" s="13">
        <f>S53*0.036</f>
        <v/>
      </c>
      <c r="Y53" s="13">
        <f>U53+V53+W53+X53</f>
        <v/>
      </c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2" t="n"/>
      <c r="O54" s="11" t="n"/>
      <c r="P54" s="11" t="n"/>
      <c r="Q54" s="11" t="n"/>
      <c r="R54" s="11" t="n"/>
      <c r="S54" s="13">
        <f>L54+M54+O54+P54+R54</f>
        <v/>
      </c>
      <c r="T54" s="11" t="n"/>
      <c r="U54" s="13">
        <f>S54*0.09</f>
        <v/>
      </c>
      <c r="V54" s="13">
        <f>S54*0.02</f>
        <v/>
      </c>
      <c r="W54" s="13">
        <f>S54*0.064</f>
        <v/>
      </c>
      <c r="X54" s="13">
        <f>S54*0.036</f>
        <v/>
      </c>
      <c r="Y54" s="13">
        <f>U54+V54+W54+X54</f>
        <v/>
      </c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2" t="n"/>
      <c r="O55" s="11" t="n"/>
      <c r="P55" s="11" t="n"/>
      <c r="Q55" s="11" t="n"/>
      <c r="R55" s="11" t="n"/>
      <c r="S55" s="13">
        <f>L55+M55+O55+P55+R55</f>
        <v/>
      </c>
      <c r="T55" s="11" t="n"/>
      <c r="U55" s="13">
        <f>S55*0.09</f>
        <v/>
      </c>
      <c r="V55" s="13">
        <f>S55*0.02</f>
        <v/>
      </c>
      <c r="W55" s="13">
        <f>S55*0.064</f>
        <v/>
      </c>
      <c r="X55" s="13">
        <f>S55*0.036</f>
        <v/>
      </c>
      <c r="Y55" s="13">
        <f>U55+V55+W55+X55</f>
        <v/>
      </c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2" t="n"/>
      <c r="O56" s="11" t="n"/>
      <c r="P56" s="11" t="n"/>
      <c r="Q56" s="11" t="n"/>
      <c r="R56" s="11" t="n"/>
      <c r="S56" s="13">
        <f>L56+M56+O56+P56+R56</f>
        <v/>
      </c>
      <c r="T56" s="11" t="n"/>
      <c r="U56" s="13">
        <f>S56*0.09</f>
        <v/>
      </c>
      <c r="V56" s="13">
        <f>S56*0.02</f>
        <v/>
      </c>
      <c r="W56" s="13">
        <f>S56*0.064</f>
        <v/>
      </c>
      <c r="X56" s="13">
        <f>S56*0.036</f>
        <v/>
      </c>
      <c r="Y56" s="13">
        <f>U56+V56+W56+X56</f>
        <v/>
      </c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2" t="n"/>
      <c r="O57" s="11" t="n"/>
      <c r="P57" s="11" t="n"/>
      <c r="Q57" s="11" t="n"/>
      <c r="R57" s="11" t="n"/>
      <c r="S57" s="13">
        <f>L57+M57+O57+P57+R57</f>
        <v/>
      </c>
      <c r="T57" s="11" t="n"/>
      <c r="U57" s="13">
        <f>S57*0.09</f>
        <v/>
      </c>
      <c r="V57" s="13">
        <f>S57*0.02</f>
        <v/>
      </c>
      <c r="W57" s="13">
        <f>S57*0.064</f>
        <v/>
      </c>
      <c r="X57" s="13">
        <f>S57*0.036</f>
        <v/>
      </c>
      <c r="Y57" s="13">
        <f>U57+V57+W57+X57</f>
        <v/>
      </c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2" t="n"/>
      <c r="O58" s="11" t="n"/>
      <c r="P58" s="11" t="n"/>
      <c r="Q58" s="11" t="n"/>
      <c r="R58" s="11" t="n"/>
      <c r="S58" s="13">
        <f>L58+M58+O58+P58+R58</f>
        <v/>
      </c>
      <c r="T58" s="11" t="n"/>
      <c r="U58" s="13">
        <f>S58*0.09</f>
        <v/>
      </c>
      <c r="V58" s="13">
        <f>S58*0.02</f>
        <v/>
      </c>
      <c r="W58" s="13">
        <f>S58*0.064</f>
        <v/>
      </c>
      <c r="X58" s="13">
        <f>S58*0.036</f>
        <v/>
      </c>
      <c r="Y58" s="13">
        <f>U58+V58+W58+X58</f>
        <v/>
      </c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2" t="n"/>
      <c r="O59" s="11" t="n"/>
      <c r="P59" s="11" t="n"/>
      <c r="Q59" s="11" t="n"/>
      <c r="R59" s="11" t="n"/>
      <c r="S59" s="13">
        <f>L59+M59+O59+P59+R59</f>
        <v/>
      </c>
      <c r="T59" s="11" t="n"/>
      <c r="U59" s="13">
        <f>S59*0.09</f>
        <v/>
      </c>
      <c r="V59" s="13">
        <f>S59*0.02</f>
        <v/>
      </c>
      <c r="W59" s="13">
        <f>S59*0.064</f>
        <v/>
      </c>
      <c r="X59" s="13">
        <f>S59*0.036</f>
        <v/>
      </c>
      <c r="Y59" s="13">
        <f>U59+V59+W59+X59</f>
        <v/>
      </c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2" t="n"/>
      <c r="O60" s="11" t="n"/>
      <c r="P60" s="11" t="n"/>
      <c r="Q60" s="11" t="n"/>
      <c r="R60" s="11" t="n"/>
      <c r="S60" s="13">
        <f>L60+M60+O60+P60+R60</f>
        <v/>
      </c>
      <c r="T60" s="11" t="n"/>
      <c r="U60" s="13">
        <f>S60*0.09</f>
        <v/>
      </c>
      <c r="V60" s="13">
        <f>S60*0.02</f>
        <v/>
      </c>
      <c r="W60" s="13">
        <f>S60*0.064</f>
        <v/>
      </c>
      <c r="X60" s="13">
        <f>S60*0.036</f>
        <v/>
      </c>
      <c r="Y60" s="13">
        <f>U60+V60+W60+X60</f>
        <v/>
      </c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2" t="n"/>
      <c r="O61" s="11" t="n"/>
      <c r="P61" s="11" t="n"/>
      <c r="Q61" s="11" t="n"/>
      <c r="R61" s="11" t="n"/>
      <c r="S61" s="13">
        <f>L61+M61+O61+P61+R61</f>
        <v/>
      </c>
      <c r="T61" s="11" t="n"/>
      <c r="U61" s="13">
        <f>S61*0.09</f>
        <v/>
      </c>
      <c r="V61" s="13">
        <f>S61*0.02</f>
        <v/>
      </c>
      <c r="W61" s="13">
        <f>S61*0.064</f>
        <v/>
      </c>
      <c r="X61" s="13">
        <f>S61*0.036</f>
        <v/>
      </c>
      <c r="Y61" s="13">
        <f>U61+V61+W61+X61</f>
        <v/>
      </c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2" t="n"/>
      <c r="O62" s="11" t="n"/>
      <c r="P62" s="11" t="n"/>
      <c r="Q62" s="11" t="n"/>
      <c r="R62" s="11" t="n"/>
      <c r="S62" s="13">
        <f>L62+M62+O62+P62+R62</f>
        <v/>
      </c>
      <c r="T62" s="11" t="n"/>
      <c r="U62" s="13">
        <f>S62*0.09</f>
        <v/>
      </c>
      <c r="V62" s="13">
        <f>S62*0.02</f>
        <v/>
      </c>
      <c r="W62" s="13">
        <f>S62*0.064</f>
        <v/>
      </c>
      <c r="X62" s="13">
        <f>S62*0.036</f>
        <v/>
      </c>
      <c r="Y62" s="13">
        <f>U62+V62+W62+X62</f>
        <v/>
      </c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2" t="n"/>
      <c r="O63" s="11" t="n"/>
      <c r="P63" s="11" t="n"/>
      <c r="Q63" s="11" t="n"/>
      <c r="R63" s="11" t="n"/>
      <c r="S63" s="13">
        <f>L63+M63+O63+P63+R63</f>
        <v/>
      </c>
      <c r="T63" s="11" t="n"/>
      <c r="U63" s="13">
        <f>S63*0.09</f>
        <v/>
      </c>
      <c r="V63" s="13">
        <f>S63*0.02</f>
        <v/>
      </c>
      <c r="W63" s="13">
        <f>S63*0.064</f>
        <v/>
      </c>
      <c r="X63" s="13">
        <f>S63*0.036</f>
        <v/>
      </c>
      <c r="Y63" s="13">
        <f>U63+V63+W63+X63</f>
        <v/>
      </c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2" t="n"/>
      <c r="O64" s="11" t="n"/>
      <c r="P64" s="11" t="n"/>
      <c r="Q64" s="11" t="n"/>
      <c r="R64" s="11" t="n"/>
      <c r="S64" s="13">
        <f>L64+M64+O64+P64+R64</f>
        <v/>
      </c>
      <c r="T64" s="11" t="n"/>
      <c r="U64" s="13">
        <f>S64*0.09</f>
        <v/>
      </c>
      <c r="V64" s="13">
        <f>S64*0.02</f>
        <v/>
      </c>
      <c r="W64" s="13">
        <f>S64*0.064</f>
        <v/>
      </c>
      <c r="X64" s="13">
        <f>S64*0.036</f>
        <v/>
      </c>
      <c r="Y64" s="13">
        <f>U64+V64+W64+X64</f>
        <v/>
      </c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2" t="n"/>
      <c r="O65" s="11" t="n"/>
      <c r="P65" s="11" t="n"/>
      <c r="Q65" s="11" t="n"/>
      <c r="R65" s="11" t="n"/>
      <c r="S65" s="13">
        <f>L65+M65+O65+P65+R65</f>
        <v/>
      </c>
      <c r="T65" s="11" t="n"/>
      <c r="U65" s="13">
        <f>S65*0.09</f>
        <v/>
      </c>
      <c r="V65" s="13">
        <f>S65*0.02</f>
        <v/>
      </c>
      <c r="W65" s="13">
        <f>S65*0.064</f>
        <v/>
      </c>
      <c r="X65" s="13">
        <f>S65*0.036</f>
        <v/>
      </c>
      <c r="Y65" s="13">
        <f>U65+V65+W65+X65</f>
        <v/>
      </c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2" t="n"/>
      <c r="O66" s="11" t="n"/>
      <c r="P66" s="11" t="n"/>
      <c r="Q66" s="11" t="n"/>
      <c r="R66" s="11" t="n"/>
      <c r="S66" s="13">
        <f>L66+M66+O66+P66+R66</f>
        <v/>
      </c>
      <c r="T66" s="11" t="n"/>
      <c r="U66" s="13">
        <f>S66*0.09</f>
        <v/>
      </c>
      <c r="V66" s="13">
        <f>S66*0.02</f>
        <v/>
      </c>
      <c r="W66" s="13">
        <f>S66*0.064</f>
        <v/>
      </c>
      <c r="X66" s="13">
        <f>S66*0.036</f>
        <v/>
      </c>
      <c r="Y66" s="13">
        <f>U66+V66+W66+X66</f>
        <v/>
      </c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2" t="n"/>
      <c r="O67" s="11" t="n"/>
      <c r="P67" s="11" t="n"/>
      <c r="Q67" s="11" t="n"/>
      <c r="R67" s="11" t="n"/>
      <c r="S67" s="13">
        <f>L67+M67+O67+P67+R67</f>
        <v/>
      </c>
      <c r="T67" s="11" t="n"/>
      <c r="U67" s="13">
        <f>S67*0.09</f>
        <v/>
      </c>
      <c r="V67" s="13">
        <f>S67*0.02</f>
        <v/>
      </c>
      <c r="W67" s="13">
        <f>S67*0.064</f>
        <v/>
      </c>
      <c r="X67" s="13">
        <f>S67*0.036</f>
        <v/>
      </c>
      <c r="Y67" s="13">
        <f>U67+V67+W67+X67</f>
        <v/>
      </c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2" t="n"/>
      <c r="O68" s="11" t="n"/>
      <c r="P68" s="11" t="n"/>
      <c r="Q68" s="11" t="n"/>
      <c r="R68" s="11" t="n"/>
      <c r="S68" s="13">
        <f>L68+M68+O68+P68+R68</f>
        <v/>
      </c>
      <c r="T68" s="11" t="n"/>
      <c r="U68" s="13">
        <f>S68*0.09</f>
        <v/>
      </c>
      <c r="V68" s="13">
        <f>S68*0.02</f>
        <v/>
      </c>
      <c r="W68" s="13">
        <f>S68*0.064</f>
        <v/>
      </c>
      <c r="X68" s="13">
        <f>S68*0.036</f>
        <v/>
      </c>
      <c r="Y68" s="13">
        <f>U68+V68+W68+X68</f>
        <v/>
      </c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2" t="n"/>
      <c r="O69" s="11" t="n"/>
      <c r="P69" s="11" t="n"/>
      <c r="Q69" s="11" t="n"/>
      <c r="R69" s="11" t="n"/>
      <c r="S69" s="13">
        <f>L69+M69+O69+P69+R69</f>
        <v/>
      </c>
      <c r="T69" s="11" t="n"/>
      <c r="U69" s="13">
        <f>S69*0.09</f>
        <v/>
      </c>
      <c r="V69" s="13">
        <f>S69*0.02</f>
        <v/>
      </c>
      <c r="W69" s="13">
        <f>S69*0.064</f>
        <v/>
      </c>
      <c r="X69" s="13">
        <f>S69*0.036</f>
        <v/>
      </c>
      <c r="Y69" s="13">
        <f>U69+V69+W69+X69</f>
        <v/>
      </c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2" t="n"/>
      <c r="O70" s="11" t="n"/>
      <c r="P70" s="11" t="n"/>
      <c r="Q70" s="11" t="n"/>
      <c r="R70" s="11" t="n"/>
      <c r="S70" s="13">
        <f>L70+M70+O70+P70+R70</f>
        <v/>
      </c>
      <c r="T70" s="11" t="n"/>
      <c r="U70" s="13">
        <f>S70*0.09</f>
        <v/>
      </c>
      <c r="V70" s="13">
        <f>S70*0.02</f>
        <v/>
      </c>
      <c r="W70" s="13">
        <f>S70*0.064</f>
        <v/>
      </c>
      <c r="X70" s="13">
        <f>S70*0.036</f>
        <v/>
      </c>
      <c r="Y70" s="13">
        <f>U70+V70+W70+X70</f>
        <v/>
      </c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2" t="n"/>
      <c r="O71" s="11" t="n"/>
      <c r="P71" s="11" t="n"/>
      <c r="Q71" s="11" t="n"/>
      <c r="R71" s="11" t="n"/>
      <c r="S71" s="13">
        <f>L71+M71+O71+P71+R71</f>
        <v/>
      </c>
      <c r="T71" s="11" t="n"/>
      <c r="U71" s="13">
        <f>S71*0.09</f>
        <v/>
      </c>
      <c r="V71" s="13">
        <f>S71*0.02</f>
        <v/>
      </c>
      <c r="W71" s="13">
        <f>S71*0.064</f>
        <v/>
      </c>
      <c r="X71" s="13">
        <f>S71*0.036</f>
        <v/>
      </c>
      <c r="Y71" s="13">
        <f>U71+V71+W71+X71</f>
        <v/>
      </c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2" t="n"/>
      <c r="O72" s="11" t="n"/>
      <c r="P72" s="11" t="n"/>
      <c r="Q72" s="11" t="n"/>
      <c r="R72" s="11" t="n"/>
      <c r="S72" s="13">
        <f>L72+M72+O72+P72+R72</f>
        <v/>
      </c>
      <c r="T72" s="11" t="n"/>
      <c r="U72" s="13">
        <f>S72*0.09</f>
        <v/>
      </c>
      <c r="V72" s="13">
        <f>S72*0.02</f>
        <v/>
      </c>
      <c r="W72" s="13">
        <f>S72*0.064</f>
        <v/>
      </c>
      <c r="X72" s="13">
        <f>S72*0.036</f>
        <v/>
      </c>
      <c r="Y72" s="13">
        <f>U72+V72+W72+X72</f>
        <v/>
      </c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2" t="n"/>
      <c r="O73" s="11" t="n"/>
      <c r="P73" s="11" t="n"/>
      <c r="Q73" s="11" t="n"/>
      <c r="R73" s="11" t="n"/>
      <c r="S73" s="13">
        <f>L73+M73+O73+P73+R73</f>
        <v/>
      </c>
      <c r="T73" s="11" t="n"/>
      <c r="U73" s="13">
        <f>S73*0.09</f>
        <v/>
      </c>
      <c r="V73" s="13">
        <f>S73*0.02</f>
        <v/>
      </c>
      <c r="W73" s="13">
        <f>S73*0.064</f>
        <v/>
      </c>
      <c r="X73" s="13">
        <f>S73*0.036</f>
        <v/>
      </c>
      <c r="Y73" s="13">
        <f>U73+V73+W73+X73</f>
        <v/>
      </c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2" t="n"/>
      <c r="O74" s="11" t="n"/>
      <c r="P74" s="11" t="n"/>
      <c r="Q74" s="11" t="n"/>
      <c r="R74" s="11" t="n"/>
      <c r="S74" s="13">
        <f>L74+M74+O74+P74+R74</f>
        <v/>
      </c>
      <c r="T74" s="11" t="n"/>
      <c r="U74" s="13">
        <f>S74*0.09</f>
        <v/>
      </c>
      <c r="V74" s="13">
        <f>S74*0.02</f>
        <v/>
      </c>
      <c r="W74" s="13">
        <f>S74*0.064</f>
        <v/>
      </c>
      <c r="X74" s="13">
        <f>S74*0.036</f>
        <v/>
      </c>
      <c r="Y74" s="13">
        <f>U74+V74+W74+X74</f>
        <v/>
      </c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2" t="n"/>
      <c r="O75" s="11" t="n"/>
      <c r="P75" s="11" t="n"/>
      <c r="Q75" s="11" t="n"/>
      <c r="R75" s="11" t="n"/>
      <c r="S75" s="13">
        <f>L75+M75+O75+P75+R75</f>
        <v/>
      </c>
      <c r="T75" s="11" t="n"/>
      <c r="U75" s="13">
        <f>S75*0.09</f>
        <v/>
      </c>
      <c r="V75" s="13">
        <f>S75*0.02</f>
        <v/>
      </c>
      <c r="W75" s="13">
        <f>S75*0.064</f>
        <v/>
      </c>
      <c r="X75" s="13">
        <f>S75*0.036</f>
        <v/>
      </c>
      <c r="Y75" s="13">
        <f>U75+V75+W75+X75</f>
        <v/>
      </c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2" t="n"/>
      <c r="O76" s="11" t="n"/>
      <c r="P76" s="11" t="n"/>
      <c r="Q76" s="11" t="n"/>
      <c r="R76" s="11" t="n"/>
      <c r="S76" s="13">
        <f>L76+M76+O76+P76+R76</f>
        <v/>
      </c>
      <c r="T76" s="11" t="n"/>
      <c r="U76" s="13">
        <f>S76*0.09</f>
        <v/>
      </c>
      <c r="V76" s="13">
        <f>S76*0.02</f>
        <v/>
      </c>
      <c r="W76" s="13">
        <f>S76*0.064</f>
        <v/>
      </c>
      <c r="X76" s="13">
        <f>S76*0.036</f>
        <v/>
      </c>
      <c r="Y76" s="13">
        <f>U76+V76+W76+X76</f>
        <v/>
      </c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2" t="n"/>
      <c r="O77" s="11" t="n"/>
      <c r="P77" s="11" t="n"/>
      <c r="Q77" s="11" t="n"/>
      <c r="R77" s="11" t="n"/>
      <c r="S77" s="13">
        <f>L77+M77+O77+P77+R77</f>
        <v/>
      </c>
      <c r="T77" s="11" t="n"/>
      <c r="U77" s="13">
        <f>S77*0.09</f>
        <v/>
      </c>
      <c r="V77" s="13">
        <f>S77*0.02</f>
        <v/>
      </c>
      <c r="W77" s="13">
        <f>S77*0.064</f>
        <v/>
      </c>
      <c r="X77" s="13">
        <f>S77*0.036</f>
        <v/>
      </c>
      <c r="Y77" s="13">
        <f>U77+V77+W77+X77</f>
        <v/>
      </c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2" t="n"/>
      <c r="O78" s="11" t="n"/>
      <c r="P78" s="11" t="n"/>
      <c r="Q78" s="11" t="n"/>
      <c r="R78" s="11" t="n"/>
      <c r="S78" s="13">
        <f>L78+M78+O78+P78+R78</f>
        <v/>
      </c>
      <c r="T78" s="11" t="n"/>
      <c r="U78" s="13">
        <f>S78*0.09</f>
        <v/>
      </c>
      <c r="V78" s="13">
        <f>S78*0.02</f>
        <v/>
      </c>
      <c r="W78" s="13">
        <f>S78*0.064</f>
        <v/>
      </c>
      <c r="X78" s="13">
        <f>S78*0.036</f>
        <v/>
      </c>
      <c r="Y78" s="13">
        <f>U78+V78+W78+X78</f>
        <v/>
      </c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2" t="n"/>
      <c r="O79" s="11" t="n"/>
      <c r="P79" s="11" t="n"/>
      <c r="Q79" s="11" t="n"/>
      <c r="R79" s="11" t="n"/>
      <c r="S79" s="13">
        <f>L79+M79+O79+P79+R79</f>
        <v/>
      </c>
      <c r="T79" s="11" t="n"/>
      <c r="U79" s="13">
        <f>S79*0.09</f>
        <v/>
      </c>
      <c r="V79" s="13">
        <f>S79*0.02</f>
        <v/>
      </c>
      <c r="W79" s="13">
        <f>S79*0.064</f>
        <v/>
      </c>
      <c r="X79" s="13">
        <f>S79*0.036</f>
        <v/>
      </c>
      <c r="Y79" s="13">
        <f>U79+V79+W79+X79</f>
        <v/>
      </c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2" t="n"/>
      <c r="O80" s="11" t="n"/>
      <c r="P80" s="11" t="n"/>
      <c r="Q80" s="11" t="n"/>
      <c r="R80" s="11" t="n"/>
      <c r="S80" s="13">
        <f>L80+M80+O80+P80+R80</f>
        <v/>
      </c>
      <c r="T80" s="11" t="n"/>
      <c r="U80" s="13">
        <f>S80*0.09</f>
        <v/>
      </c>
      <c r="V80" s="13">
        <f>S80*0.02</f>
        <v/>
      </c>
      <c r="W80" s="13">
        <f>S80*0.064</f>
        <v/>
      </c>
      <c r="X80" s="13">
        <f>S80*0.036</f>
        <v/>
      </c>
      <c r="Y80" s="13">
        <f>U80+V80+W80+X80</f>
        <v/>
      </c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2" t="n"/>
      <c r="O81" s="11" t="n"/>
      <c r="P81" s="11" t="n"/>
      <c r="Q81" s="11" t="n"/>
      <c r="R81" s="11" t="n"/>
      <c r="S81" s="13">
        <f>L81+M81+O81+P81+R81</f>
        <v/>
      </c>
      <c r="T81" s="11" t="n"/>
      <c r="U81" s="13">
        <f>S81*0.09</f>
        <v/>
      </c>
      <c r="V81" s="13">
        <f>S81*0.02</f>
        <v/>
      </c>
      <c r="W81" s="13">
        <f>S81*0.064</f>
        <v/>
      </c>
      <c r="X81" s="13">
        <f>S81*0.036</f>
        <v/>
      </c>
      <c r="Y81" s="13">
        <f>U81+V81+W81+X81</f>
        <v/>
      </c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2" t="n"/>
      <c r="O82" s="11" t="n"/>
      <c r="P82" s="11" t="n"/>
      <c r="Q82" s="11" t="n"/>
      <c r="R82" s="11" t="n"/>
      <c r="S82" s="13">
        <f>L82+M82+O82+P82+R82</f>
        <v/>
      </c>
      <c r="T82" s="11" t="n"/>
      <c r="U82" s="13">
        <f>S82*0.09</f>
        <v/>
      </c>
      <c r="V82" s="13">
        <f>S82*0.02</f>
        <v/>
      </c>
      <c r="W82" s="13">
        <f>S82*0.064</f>
        <v/>
      </c>
      <c r="X82" s="13">
        <f>S82*0.036</f>
        <v/>
      </c>
      <c r="Y82" s="13">
        <f>U82+V82+W82+X82</f>
        <v/>
      </c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2" t="n"/>
      <c r="O83" s="11" t="n"/>
      <c r="P83" s="11" t="n"/>
      <c r="Q83" s="11" t="n"/>
      <c r="R83" s="11" t="n"/>
      <c r="S83" s="13">
        <f>L83+M83+O83+P83+R83</f>
        <v/>
      </c>
      <c r="T83" s="11" t="n"/>
      <c r="U83" s="13">
        <f>S83*0.09</f>
        <v/>
      </c>
      <c r="V83" s="13">
        <f>S83*0.02</f>
        <v/>
      </c>
      <c r="W83" s="13">
        <f>S83*0.064</f>
        <v/>
      </c>
      <c r="X83" s="13">
        <f>S83*0.036</f>
        <v/>
      </c>
      <c r="Y83" s="13">
        <f>U83+V83+W83+X83</f>
        <v/>
      </c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2" t="n"/>
      <c r="O84" s="11" t="n"/>
      <c r="P84" s="11" t="n"/>
      <c r="Q84" s="11" t="n"/>
      <c r="R84" s="11" t="n"/>
      <c r="S84" s="13">
        <f>L84+M84+O84+P84+R84</f>
        <v/>
      </c>
      <c r="T84" s="11" t="n"/>
      <c r="U84" s="13">
        <f>S84*0.09</f>
        <v/>
      </c>
      <c r="V84" s="13">
        <f>S84*0.02</f>
        <v/>
      </c>
      <c r="W84" s="13">
        <f>S84*0.064</f>
        <v/>
      </c>
      <c r="X84" s="13">
        <f>S84*0.036</f>
        <v/>
      </c>
      <c r="Y84" s="13">
        <f>U84+V84+W84+X84</f>
        <v/>
      </c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2" t="n"/>
      <c r="O85" s="11" t="n"/>
      <c r="P85" s="11" t="n"/>
      <c r="Q85" s="11" t="n"/>
      <c r="R85" s="11" t="n"/>
      <c r="S85" s="13">
        <f>L85+M85+O85+P85+R85</f>
        <v/>
      </c>
      <c r="T85" s="11" t="n"/>
      <c r="U85" s="13">
        <f>S85*0.09</f>
        <v/>
      </c>
      <c r="V85" s="13">
        <f>S85*0.02</f>
        <v/>
      </c>
      <c r="W85" s="13">
        <f>S85*0.064</f>
        <v/>
      </c>
      <c r="X85" s="13">
        <f>S85*0.036</f>
        <v/>
      </c>
      <c r="Y85" s="13">
        <f>U85+V85+W85+X85</f>
        <v/>
      </c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2" t="n"/>
      <c r="O86" s="11" t="n"/>
      <c r="P86" s="11" t="n"/>
      <c r="Q86" s="11" t="n"/>
      <c r="R86" s="11" t="n"/>
      <c r="S86" s="13">
        <f>L86+M86+O86+P86+R86</f>
        <v/>
      </c>
      <c r="T86" s="11" t="n"/>
      <c r="U86" s="13">
        <f>S86*0.09</f>
        <v/>
      </c>
      <c r="V86" s="13">
        <f>S86*0.02</f>
        <v/>
      </c>
      <c r="W86" s="13">
        <f>S86*0.064</f>
        <v/>
      </c>
      <c r="X86" s="13">
        <f>S86*0.036</f>
        <v/>
      </c>
      <c r="Y86" s="13">
        <f>U86+V86+W86+X86</f>
        <v/>
      </c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2" t="n"/>
      <c r="O87" s="11" t="n"/>
      <c r="P87" s="11" t="n"/>
      <c r="Q87" s="11" t="n"/>
      <c r="R87" s="11" t="n"/>
      <c r="S87" s="13">
        <f>L87+M87+O87+P87+R87</f>
        <v/>
      </c>
      <c r="T87" s="11" t="n"/>
      <c r="U87" s="13">
        <f>S87*0.09</f>
        <v/>
      </c>
      <c r="V87" s="13">
        <f>S87*0.02</f>
        <v/>
      </c>
      <c r="W87" s="13">
        <f>S87*0.064</f>
        <v/>
      </c>
      <c r="X87" s="13">
        <f>S87*0.036</f>
        <v/>
      </c>
      <c r="Y87" s="13">
        <f>U87+V87+W87+X87</f>
        <v/>
      </c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2" t="n"/>
      <c r="O88" s="11" t="n"/>
      <c r="P88" s="11" t="n"/>
      <c r="Q88" s="11" t="n"/>
      <c r="R88" s="11" t="n"/>
      <c r="S88" s="13">
        <f>L88+M88+O88+P88+R88</f>
        <v/>
      </c>
      <c r="T88" s="11" t="n"/>
      <c r="U88" s="13">
        <f>S88*0.09</f>
        <v/>
      </c>
      <c r="V88" s="13">
        <f>S88*0.02</f>
        <v/>
      </c>
      <c r="W88" s="13">
        <f>S88*0.064</f>
        <v/>
      </c>
      <c r="X88" s="13">
        <f>S88*0.036</f>
        <v/>
      </c>
      <c r="Y88" s="13">
        <f>U88+V88+W88+X88</f>
        <v/>
      </c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2" t="n"/>
      <c r="O89" s="11" t="n"/>
      <c r="P89" s="11" t="n"/>
      <c r="Q89" s="11" t="n"/>
      <c r="R89" s="11" t="n"/>
      <c r="S89" s="13">
        <f>L89+M89+O89+P89+R89</f>
        <v/>
      </c>
      <c r="T89" s="11" t="n"/>
      <c r="U89" s="13">
        <f>S89*0.09</f>
        <v/>
      </c>
      <c r="V89" s="13">
        <f>S89*0.02</f>
        <v/>
      </c>
      <c r="W89" s="13">
        <f>S89*0.064</f>
        <v/>
      </c>
      <c r="X89" s="13">
        <f>S89*0.036</f>
        <v/>
      </c>
      <c r="Y89" s="13">
        <f>U89+V89+W89+X89</f>
        <v/>
      </c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2" t="n"/>
      <c r="O90" s="11" t="n"/>
      <c r="P90" s="11" t="n"/>
      <c r="Q90" s="11" t="n"/>
      <c r="R90" s="11" t="n"/>
      <c r="S90" s="13">
        <f>L90+M90+O90+P90+R90</f>
        <v/>
      </c>
      <c r="T90" s="11" t="n"/>
      <c r="U90" s="13">
        <f>S90*0.09</f>
        <v/>
      </c>
      <c r="V90" s="13">
        <f>S90*0.02</f>
        <v/>
      </c>
      <c r="W90" s="13">
        <f>S90*0.064</f>
        <v/>
      </c>
      <c r="X90" s="13">
        <f>S90*0.036</f>
        <v/>
      </c>
      <c r="Y90" s="13">
        <f>U90+V90+W90+X90</f>
        <v/>
      </c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2" t="n"/>
      <c r="O91" s="11" t="n"/>
      <c r="P91" s="11" t="n"/>
      <c r="Q91" s="11" t="n"/>
      <c r="R91" s="11" t="n"/>
      <c r="S91" s="13">
        <f>L91+M91+O91+P91+R91</f>
        <v/>
      </c>
      <c r="T91" s="11" t="n"/>
      <c r="U91" s="13">
        <f>S91*0.09</f>
        <v/>
      </c>
      <c r="V91" s="13">
        <f>S91*0.02</f>
        <v/>
      </c>
      <c r="W91" s="13">
        <f>S91*0.064</f>
        <v/>
      </c>
      <c r="X91" s="13">
        <f>S91*0.036</f>
        <v/>
      </c>
      <c r="Y91" s="13">
        <f>U91+V91+W91+X91</f>
        <v/>
      </c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2" t="n"/>
      <c r="O92" s="11" t="n"/>
      <c r="P92" s="11" t="n"/>
      <c r="Q92" s="11" t="n"/>
      <c r="R92" s="11" t="n"/>
      <c r="S92" s="13">
        <f>L92+M92+O92+P92+R92</f>
        <v/>
      </c>
      <c r="T92" s="11" t="n"/>
      <c r="U92" s="13">
        <f>S92*0.09</f>
        <v/>
      </c>
      <c r="V92" s="13">
        <f>S92*0.02</f>
        <v/>
      </c>
      <c r="W92" s="13">
        <f>S92*0.064</f>
        <v/>
      </c>
      <c r="X92" s="13">
        <f>S92*0.036</f>
        <v/>
      </c>
      <c r="Y92" s="13">
        <f>U92+V92+W92+X92</f>
        <v/>
      </c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2" t="n"/>
      <c r="O93" s="11" t="n"/>
      <c r="P93" s="11" t="n"/>
      <c r="Q93" s="11" t="n"/>
      <c r="R93" s="11" t="n"/>
      <c r="S93" s="13">
        <f>L93+M93+O93+P93+R93</f>
        <v/>
      </c>
      <c r="T93" s="11" t="n"/>
      <c r="U93" s="13">
        <f>S93*0.09</f>
        <v/>
      </c>
      <c r="V93" s="13">
        <f>S93*0.02</f>
        <v/>
      </c>
      <c r="W93" s="13">
        <f>S93*0.064</f>
        <v/>
      </c>
      <c r="X93" s="13">
        <f>S93*0.036</f>
        <v/>
      </c>
      <c r="Y93" s="13">
        <f>U93+V93+W93+X93</f>
        <v/>
      </c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2" t="n"/>
      <c r="O94" s="11" t="n"/>
      <c r="P94" s="11" t="n"/>
      <c r="Q94" s="11" t="n"/>
      <c r="R94" s="11" t="n"/>
      <c r="S94" s="13">
        <f>L94+M94+O94+P94+R94</f>
        <v/>
      </c>
      <c r="T94" s="11" t="n"/>
      <c r="U94" s="13">
        <f>S94*0.09</f>
        <v/>
      </c>
      <c r="V94" s="13">
        <f>S94*0.02</f>
        <v/>
      </c>
      <c r="W94" s="13">
        <f>S94*0.064</f>
        <v/>
      </c>
      <c r="X94" s="13">
        <f>S94*0.036</f>
        <v/>
      </c>
      <c r="Y94" s="13">
        <f>U94+V94+W94+X94</f>
        <v/>
      </c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2" t="n"/>
      <c r="O95" s="11" t="n"/>
      <c r="P95" s="11" t="n"/>
      <c r="Q95" s="11" t="n"/>
      <c r="R95" s="11" t="n"/>
      <c r="S95" s="13">
        <f>L95+M95+O95+P95+R95</f>
        <v/>
      </c>
      <c r="T95" s="11" t="n"/>
      <c r="U95" s="13">
        <f>S95*0.09</f>
        <v/>
      </c>
      <c r="V95" s="13">
        <f>S95*0.02</f>
        <v/>
      </c>
      <c r="W95" s="13">
        <f>S95*0.064</f>
        <v/>
      </c>
      <c r="X95" s="13">
        <f>S95*0.036</f>
        <v/>
      </c>
      <c r="Y95" s="13">
        <f>U95+V95+W95+X95</f>
        <v/>
      </c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2" t="n"/>
      <c r="O96" s="11" t="n"/>
      <c r="P96" s="11" t="n"/>
      <c r="Q96" s="11" t="n"/>
      <c r="R96" s="11" t="n"/>
      <c r="S96" s="13">
        <f>L96+M96+O96+P96+R96</f>
        <v/>
      </c>
      <c r="T96" s="11" t="n"/>
      <c r="U96" s="13">
        <f>S96*0.09</f>
        <v/>
      </c>
      <c r="V96" s="13">
        <f>S96*0.02</f>
        <v/>
      </c>
      <c r="W96" s="13">
        <f>S96*0.064</f>
        <v/>
      </c>
      <c r="X96" s="13">
        <f>S96*0.036</f>
        <v/>
      </c>
      <c r="Y96" s="13">
        <f>U96+V96+W96+X96</f>
        <v/>
      </c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2" t="n"/>
      <c r="O97" s="11" t="n"/>
      <c r="P97" s="11" t="n"/>
      <c r="Q97" s="11" t="n"/>
      <c r="R97" s="11" t="n"/>
      <c r="S97" s="13">
        <f>L97+M97+O97+P97+R97</f>
        <v/>
      </c>
      <c r="T97" s="11" t="n"/>
      <c r="U97" s="13">
        <f>S97*0.09</f>
        <v/>
      </c>
      <c r="V97" s="13">
        <f>S97*0.02</f>
        <v/>
      </c>
      <c r="W97" s="13">
        <f>S97*0.064</f>
        <v/>
      </c>
      <c r="X97" s="13">
        <f>S97*0.036</f>
        <v/>
      </c>
      <c r="Y97" s="13">
        <f>U97+V97+W97+X97</f>
        <v/>
      </c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2" t="n"/>
      <c r="O98" s="11" t="n"/>
      <c r="P98" s="11" t="n"/>
      <c r="Q98" s="11" t="n"/>
      <c r="R98" s="11" t="n"/>
      <c r="S98" s="13">
        <f>L98+M98+O98+P98+R98</f>
        <v/>
      </c>
      <c r="T98" s="11" t="n"/>
      <c r="U98" s="13">
        <f>S98*0.09</f>
        <v/>
      </c>
      <c r="V98" s="13">
        <f>S98*0.02</f>
        <v/>
      </c>
      <c r="W98" s="13">
        <f>S98*0.064</f>
        <v/>
      </c>
      <c r="X98" s="13">
        <f>S98*0.036</f>
        <v/>
      </c>
      <c r="Y98" s="13">
        <f>U98+V98+W98+X98</f>
        <v/>
      </c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2" t="n"/>
      <c r="O99" s="11" t="n"/>
      <c r="P99" s="11" t="n"/>
      <c r="Q99" s="11" t="n"/>
      <c r="R99" s="11" t="n"/>
      <c r="S99" s="13">
        <f>L99+M99+O99+P99+R99</f>
        <v/>
      </c>
      <c r="T99" s="11" t="n"/>
      <c r="U99" s="13">
        <f>S99*0.09</f>
        <v/>
      </c>
      <c r="V99" s="13">
        <f>S99*0.02</f>
        <v/>
      </c>
      <c r="W99" s="13">
        <f>S99*0.064</f>
        <v/>
      </c>
      <c r="X99" s="13">
        <f>S99*0.036</f>
        <v/>
      </c>
      <c r="Y99" s="13">
        <f>U99+V99+W99+X99</f>
        <v/>
      </c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2" t="n"/>
      <c r="O100" s="11" t="n"/>
      <c r="P100" s="11" t="n"/>
      <c r="Q100" s="11" t="n"/>
      <c r="R100" s="11" t="n"/>
      <c r="S100" s="13">
        <f>L100+M100+O100+P100+R100</f>
        <v/>
      </c>
      <c r="T100" s="11" t="n"/>
      <c r="U100" s="13">
        <f>S100*0.09</f>
        <v/>
      </c>
      <c r="V100" s="13">
        <f>S100*0.02</f>
        <v/>
      </c>
      <c r="W100" s="13">
        <f>S100*0.064</f>
        <v/>
      </c>
      <c r="X100" s="13">
        <f>S100*0.036</f>
        <v/>
      </c>
      <c r="Y100" s="13">
        <f>U100+V100+W100+X100</f>
        <v/>
      </c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2" t="n"/>
      <c r="O101" s="11" t="n"/>
      <c r="P101" s="11" t="n"/>
      <c r="Q101" s="11" t="n"/>
      <c r="R101" s="11" t="n"/>
      <c r="S101" s="13">
        <f>L101+M101+O101+P101+R101</f>
        <v/>
      </c>
      <c r="T101" s="11" t="n"/>
      <c r="U101" s="13">
        <f>S101*0.09</f>
        <v/>
      </c>
      <c r="V101" s="13">
        <f>S101*0.02</f>
        <v/>
      </c>
      <c r="W101" s="13">
        <f>S101*0.064</f>
        <v/>
      </c>
      <c r="X101" s="13">
        <f>S101*0.036</f>
        <v/>
      </c>
      <c r="Y101" s="13">
        <f>U101+V101+W101+X101</f>
        <v/>
      </c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2" t="n"/>
      <c r="O102" s="11" t="n"/>
      <c r="P102" s="11" t="n"/>
      <c r="Q102" s="11" t="n"/>
      <c r="R102" s="11" t="n"/>
      <c r="S102" s="13">
        <f>L102+M102+O102+P102+R102</f>
        <v/>
      </c>
      <c r="T102" s="11" t="n"/>
      <c r="U102" s="13">
        <f>S102*0.09</f>
        <v/>
      </c>
      <c r="V102" s="13">
        <f>S102*0.02</f>
        <v/>
      </c>
      <c r="W102" s="13">
        <f>S102*0.064</f>
        <v/>
      </c>
      <c r="X102" s="13">
        <f>S102*0.036</f>
        <v/>
      </c>
      <c r="Y102" s="13">
        <f>U102+V102+W102+X102</f>
        <v/>
      </c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2" t="n"/>
      <c r="O103" s="11" t="n"/>
      <c r="P103" s="11" t="n"/>
      <c r="Q103" s="11" t="n"/>
      <c r="R103" s="11" t="n"/>
      <c r="S103" s="13">
        <f>L103+M103+O103+P103+R103</f>
        <v/>
      </c>
      <c r="T103" s="11" t="n"/>
      <c r="U103" s="13">
        <f>S103*0.09</f>
        <v/>
      </c>
      <c r="V103" s="13">
        <f>S103*0.02</f>
        <v/>
      </c>
      <c r="W103" s="13">
        <f>S103*0.064</f>
        <v/>
      </c>
      <c r="X103" s="13">
        <f>S103*0.036</f>
        <v/>
      </c>
      <c r="Y103" s="13">
        <f>U103+V103+W103+X103</f>
        <v/>
      </c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2" t="n"/>
      <c r="O104" s="11" t="n"/>
      <c r="P104" s="11" t="n"/>
      <c r="Q104" s="11" t="n"/>
      <c r="R104" s="11" t="n"/>
      <c r="S104" s="13">
        <f>L104+M104+O104+P104+R104</f>
        <v/>
      </c>
      <c r="T104" s="11" t="n"/>
      <c r="U104" s="13">
        <f>S104*0.09</f>
        <v/>
      </c>
      <c r="V104" s="13">
        <f>S104*0.02</f>
        <v/>
      </c>
      <c r="W104" s="13">
        <f>S104*0.064</f>
        <v/>
      </c>
      <c r="X104" s="13">
        <f>S104*0.036</f>
        <v/>
      </c>
      <c r="Y104" s="13">
        <f>U104+V104+W104+X104</f>
        <v/>
      </c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2" t="n"/>
      <c r="O105" s="11" t="n"/>
      <c r="P105" s="11" t="n"/>
      <c r="Q105" s="11" t="n"/>
      <c r="R105" s="11" t="n"/>
      <c r="S105" s="13">
        <f>L105+M105+O105+P105+R105</f>
        <v/>
      </c>
      <c r="T105" s="11" t="n"/>
      <c r="U105" s="13">
        <f>S105*0.09</f>
        <v/>
      </c>
      <c r="V105" s="13">
        <f>S105*0.02</f>
        <v/>
      </c>
      <c r="W105" s="13">
        <f>S105*0.064</f>
        <v/>
      </c>
      <c r="X105" s="13">
        <f>S105*0.036</f>
        <v/>
      </c>
      <c r="Y105" s="13">
        <f>U105+V105+W105+X105</f>
        <v/>
      </c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2" t="n"/>
      <c r="O106" s="11" t="n"/>
      <c r="P106" s="11" t="n"/>
      <c r="Q106" s="11" t="n"/>
      <c r="R106" s="11" t="n"/>
      <c r="S106" s="13">
        <f>L106+M106+O106+P106+R106</f>
        <v/>
      </c>
      <c r="T106" s="11" t="n"/>
      <c r="U106" s="13">
        <f>S106*0.09</f>
        <v/>
      </c>
      <c r="V106" s="13">
        <f>S106*0.02</f>
        <v/>
      </c>
      <c r="W106" s="13">
        <f>S106*0.064</f>
        <v/>
      </c>
      <c r="X106" s="13">
        <f>S106*0.036</f>
        <v/>
      </c>
      <c r="Y106" s="13">
        <f>U106+V106+W106+X106</f>
        <v/>
      </c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2" t="n"/>
      <c r="O107" s="11" t="n"/>
      <c r="P107" s="11" t="n"/>
      <c r="Q107" s="11" t="n"/>
      <c r="R107" s="11" t="n"/>
      <c r="S107" s="13">
        <f>L107+M107+O107+P107+R107</f>
        <v/>
      </c>
      <c r="T107" s="11" t="n"/>
      <c r="U107" s="13">
        <f>S107*0.09</f>
        <v/>
      </c>
      <c r="V107" s="13">
        <f>S107*0.02</f>
        <v/>
      </c>
      <c r="W107" s="13">
        <f>S107*0.064</f>
        <v/>
      </c>
      <c r="X107" s="13">
        <f>S107*0.036</f>
        <v/>
      </c>
      <c r="Y107" s="13">
        <f>U107+V107+W107+X107</f>
        <v/>
      </c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2" t="n"/>
      <c r="O108" s="11" t="n"/>
      <c r="P108" s="11" t="n"/>
      <c r="Q108" s="11" t="n"/>
      <c r="R108" s="11" t="n"/>
      <c r="S108" s="13">
        <f>L108+M108+O108+P108+R108</f>
        <v/>
      </c>
      <c r="T108" s="11" t="n"/>
      <c r="U108" s="13">
        <f>S108*0.09</f>
        <v/>
      </c>
      <c r="V108" s="13">
        <f>S108*0.02</f>
        <v/>
      </c>
      <c r="W108" s="13">
        <f>S108*0.064</f>
        <v/>
      </c>
      <c r="X108" s="13">
        <f>S108*0.036</f>
        <v/>
      </c>
      <c r="Y108" s="13">
        <f>U108+V108+W108+X108</f>
        <v/>
      </c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2" t="n"/>
      <c r="O109" s="11" t="n"/>
      <c r="P109" s="11" t="n"/>
      <c r="Q109" s="11" t="n"/>
      <c r="R109" s="11" t="n"/>
      <c r="S109" s="13">
        <f>L109+M109+O109+P109+R109</f>
        <v/>
      </c>
      <c r="T109" s="11" t="n"/>
      <c r="U109" s="13">
        <f>S109*0.09</f>
        <v/>
      </c>
      <c r="V109" s="13">
        <f>S109*0.02</f>
        <v/>
      </c>
      <c r="W109" s="13">
        <f>S109*0.064</f>
        <v/>
      </c>
      <c r="X109" s="13">
        <f>S109*0.036</f>
        <v/>
      </c>
      <c r="Y109" s="13">
        <f>U109+V109+W109+X109</f>
        <v/>
      </c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2" t="n"/>
      <c r="O110" s="11" t="n"/>
      <c r="P110" s="11" t="n"/>
      <c r="Q110" s="11" t="n"/>
      <c r="R110" s="11" t="n"/>
      <c r="S110" s="13">
        <f>L110+M110+O110+P110+R110</f>
        <v/>
      </c>
      <c r="T110" s="11" t="n"/>
      <c r="U110" s="13">
        <f>S110*0.09</f>
        <v/>
      </c>
      <c r="V110" s="13">
        <f>S110*0.02</f>
        <v/>
      </c>
      <c r="W110" s="13">
        <f>S110*0.064</f>
        <v/>
      </c>
      <c r="X110" s="13">
        <f>S110*0.036</f>
        <v/>
      </c>
      <c r="Y110" s="13">
        <f>U110+V110+W110+X110</f>
        <v/>
      </c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2" t="n"/>
      <c r="O111" s="11" t="n"/>
      <c r="P111" s="11" t="n"/>
      <c r="Q111" s="11" t="n"/>
      <c r="R111" s="11" t="n"/>
      <c r="S111" s="13">
        <f>L111+M111+O111+P111+R111</f>
        <v/>
      </c>
      <c r="T111" s="11" t="n"/>
      <c r="U111" s="13">
        <f>S111*0.09</f>
        <v/>
      </c>
      <c r="V111" s="13">
        <f>S111*0.02</f>
        <v/>
      </c>
      <c r="W111" s="13">
        <f>S111*0.064</f>
        <v/>
      </c>
      <c r="X111" s="13">
        <f>S111*0.036</f>
        <v/>
      </c>
      <c r="Y111" s="13">
        <f>U111+V111+W111+X111</f>
        <v/>
      </c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2" t="n"/>
      <c r="O112" s="11" t="n"/>
      <c r="P112" s="11" t="n"/>
      <c r="Q112" s="11" t="n"/>
      <c r="R112" s="11" t="n"/>
      <c r="S112" s="13">
        <f>L112+M112+O112+P112+R112</f>
        <v/>
      </c>
      <c r="T112" s="11" t="n"/>
      <c r="U112" s="13">
        <f>S112*0.09</f>
        <v/>
      </c>
      <c r="V112" s="13">
        <f>S112*0.02</f>
        <v/>
      </c>
      <c r="W112" s="13">
        <f>S112*0.064</f>
        <v/>
      </c>
      <c r="X112" s="13">
        <f>S112*0.036</f>
        <v/>
      </c>
      <c r="Y112" s="13">
        <f>U112+V112+W112+X112</f>
        <v/>
      </c>
      <c r="Z112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Référentiels DGI-CNSS - Types de contrat, Taux risque</t>
        </is>
      </c>
    </row>
    <row r="3">
      <c r="A3" t="inlineStr">
        <is>
          <t>Type contrat</t>
        </is>
      </c>
      <c r="B3" t="inlineStr">
        <is>
          <t>CDI, CDD, Stage, Apprentissage, Journalier</t>
        </is>
      </c>
    </row>
    <row r="4">
      <c r="A4" t="inlineStr">
        <is>
          <t>Taux risque</t>
        </is>
      </c>
      <c r="B4" t="inlineStr">
        <is>
          <t>1% à 4% selon activité (voir barème CNSS)</t>
        </is>
      </c>
    </row>
    <row r="6">
      <c r="A6" t="inlineStr">
        <is>
          <t>Source: CSI CGSS 2026 - à vérifier avec CNSS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2026-10-15T06:22:17Z</dcterms:created>
  <dcterms:modified xsi:type="dcterms:W3CDTF">2026-10-15T06:22:17Z</dcterms:modified>
</cp:coreProperties>
</file>